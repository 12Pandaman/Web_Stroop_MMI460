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ผล Pre_vs_Post" sheetId="1" state="visible" r:id="rId1"/>
    <sheet name="ตารางเดี่ยว_Pre_และ_P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1E3A8A"/>
      <sz val="12"/>
    </font>
    <font>
      <name val="Segoe UI"/>
      <b val="1"/>
      <color rgb="00065F46"/>
      <sz val="12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4C1D95"/>
        <bgColor rgb="004C1D95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1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102" customWidth="1" min="9" max="9"/>
  </cols>
  <sheetData>
    <row r="1" ht="36" customHeight="1">
      <c r="A1" s="1" t="inlineStr">
        <is>
          <t>ตารางสรุปผลการวิจัย Stroop Effect เปรียบเทียบ Pre-test และ Post-test</t>
        </is>
      </c>
    </row>
    <row r="2" ht="20" customHeight="1">
      <c r="A2" s="2" t="inlineStr">
        <is>
          <t>เวลาปฏิกิริยาเฉลี่ย (Reaction Time: ms) เฉพาะข้อที่ตอบถูก | ผลต่าง D = Incongruent - Congruent | Delta D = Post - Pre</t>
        </is>
      </c>
    </row>
    <row r="3"/>
    <row r="4" ht="26" customHeight="1">
      <c r="A4" s="3" t="inlineStr">
        <is>
          <t>ผู้เข้าร่วม</t>
        </is>
      </c>
      <c r="B4" s="4" t="inlineStr">
        <is>
          <t>Pre-test (ก่อนการทดลอง)</t>
        </is>
      </c>
      <c r="C4" s="4" t="n"/>
      <c r="D4" s="4" t="n"/>
      <c r="E4" s="5" t="inlineStr">
        <is>
          <t>Post-test (หลังการทดลอง)</t>
        </is>
      </c>
      <c r="F4" s="5" t="n"/>
      <c r="G4" s="5" t="n"/>
      <c r="H4" s="6" t="inlineStr">
        <is>
          <t>ผลต่าง Delta D
(Post - Pre)</t>
        </is>
      </c>
      <c r="I4" s="6" t="inlineStr">
        <is>
          <t>การเปลี่ยนแปลง
(Stroop Effect)</t>
        </is>
      </c>
    </row>
    <row r="5" ht="26" customHeight="1">
      <c r="A5" s="3" t="n"/>
      <c r="B5" s="4" t="inlineStr">
        <is>
          <t>Congruent (ms)</t>
        </is>
      </c>
      <c r="C5" s="4" t="inlineStr">
        <is>
          <t>Incongruent (ms)</t>
        </is>
      </c>
      <c r="D5" s="4" t="inlineStr">
        <is>
          <t>ผลต่าง D_pre</t>
        </is>
      </c>
      <c r="E5" s="5" t="inlineStr">
        <is>
          <t>Congruent (ms)</t>
        </is>
      </c>
      <c r="F5" s="5" t="inlineStr">
        <is>
          <t>Incongruent (ms)</t>
        </is>
      </c>
      <c r="G5" s="5" t="inlineStr">
        <is>
          <t>ผลต่าง D_post</t>
        </is>
      </c>
      <c r="H5" s="6" t="n"/>
      <c r="I5" s="6" t="n"/>
    </row>
    <row r="6" ht="22" customHeight="1">
      <c r="A6" s="7" t="inlineStr">
        <is>
          <t>P01</t>
        </is>
      </c>
      <c r="B6" s="8" t="n">
        <v>500</v>
      </c>
      <c r="C6" s="8" t="n">
        <v>650</v>
      </c>
      <c r="D6" s="8">
        <f>C6-B6</f>
        <v/>
      </c>
      <c r="E6" s="8" t="n">
        <v>480</v>
      </c>
      <c r="F6" s="8" t="n">
        <v>580</v>
      </c>
      <c r="G6" s="8">
        <f>F6-E6</f>
        <v/>
      </c>
      <c r="H6" s="8">
        <f>G6-D6</f>
        <v/>
      </c>
      <c r="I6" s="9">
        <f>IF(H6&lt;0, "ลดลง " &amp; ABS(H6) &amp; " ms (ดีขึ้น)", IF(H6&gt;0, "เพิ่มขึ้น " &amp; H6 &amp; " ms", "เท่าเดิม"))</f>
        <v/>
      </c>
    </row>
    <row r="7" ht="22" customHeight="1">
      <c r="A7" s="7" t="inlineStr">
        <is>
          <t>P02</t>
        </is>
      </c>
      <c r="B7" s="8" t="n">
        <v>550</v>
      </c>
      <c r="C7" s="8" t="n">
        <v>700</v>
      </c>
      <c r="D7" s="8">
        <f>C7-B7</f>
        <v/>
      </c>
      <c r="E7" s="8" t="n">
        <v>520</v>
      </c>
      <c r="F7" s="8" t="n">
        <v>630</v>
      </c>
      <c r="G7" s="8">
        <f>F7-E7</f>
        <v/>
      </c>
      <c r="H7" s="8">
        <f>G7-D7</f>
        <v/>
      </c>
      <c r="I7" s="9">
        <f>IF(H7&lt;0, "ลดลง " &amp; ABS(H7) &amp; " ms (ดีขึ้น)", IF(H7&gt;0, "เพิ่มขึ้น " &amp; H7 &amp; " ms", "เท่าเดิม"))</f>
        <v/>
      </c>
    </row>
    <row r="8" ht="22" customHeight="1">
      <c r="A8" s="7" t="inlineStr">
        <is>
          <t>P03</t>
        </is>
      </c>
      <c r="B8" s="8" t="n">
        <v>480</v>
      </c>
      <c r="C8" s="8" t="n">
        <v>600</v>
      </c>
      <c r="D8" s="8">
        <f>C8-B8</f>
        <v/>
      </c>
      <c r="E8" s="8" t="n">
        <v>460</v>
      </c>
      <c r="F8" s="8" t="n">
        <v>550</v>
      </c>
      <c r="G8" s="8">
        <f>F8-E8</f>
        <v/>
      </c>
      <c r="H8" s="8">
        <f>G8-D8</f>
        <v/>
      </c>
      <c r="I8" s="9">
        <f>IF(H8&lt;0, "ลดลง " &amp; ABS(H8) &amp; " ms (ดีขึ้น)", IF(H8&gt;0, "เพิ่มขึ้น " &amp; H8 &amp; " ms", "เท่าเดิม"))</f>
        <v/>
      </c>
    </row>
    <row r="9" ht="22" customHeight="1">
      <c r="A9" s="7" t="inlineStr">
        <is>
          <t>P04</t>
        </is>
      </c>
      <c r="B9" s="8" t="n">
        <v>520</v>
      </c>
      <c r="C9" s="8" t="n">
        <v>680</v>
      </c>
      <c r="D9" s="8">
        <f>C9-B9</f>
        <v/>
      </c>
      <c r="E9" s="8" t="n">
        <v>500</v>
      </c>
      <c r="F9" s="8" t="n">
        <v>610</v>
      </c>
      <c r="G9" s="8">
        <f>F9-E9</f>
        <v/>
      </c>
      <c r="H9" s="8">
        <f>G9-D9</f>
        <v/>
      </c>
      <c r="I9" s="9">
        <f>IF(H9&lt;0, "ลดลง " &amp; ABS(H9) &amp; " ms (ดีขึ้น)", IF(H9&gt;0, "เพิ่มขึ้น " &amp; H9 &amp; " ms", "เท่าเดิม"))</f>
        <v/>
      </c>
    </row>
    <row r="10" ht="22" customHeight="1">
      <c r="A10" s="7" t="inlineStr">
        <is>
          <t>P05</t>
        </is>
      </c>
      <c r="B10" s="8" t="n">
        <v>510</v>
      </c>
      <c r="C10" s="8" t="n">
        <v>660</v>
      </c>
      <c r="D10" s="8">
        <f>C10-B10</f>
        <v/>
      </c>
      <c r="E10" s="8" t="n">
        <v>490</v>
      </c>
      <c r="F10" s="8" t="n">
        <v>590</v>
      </c>
      <c r="G10" s="8">
        <f>F10-E10</f>
        <v/>
      </c>
      <c r="H10" s="8">
        <f>G10-D10</f>
        <v/>
      </c>
      <c r="I10" s="9">
        <f>IF(H10&lt;0, "ลดลง " &amp; ABS(H10) &amp; " ms (ดีขึ้น)", IF(H10&gt;0, "เพิ่มขึ้น " &amp; H10 &amp; " ms", "เท่าเดิม"))</f>
        <v/>
      </c>
    </row>
    <row r="11" ht="25" customHeight="1">
      <c r="A11" s="10" t="inlineStr">
        <is>
          <t>ค่าเฉลี่ย (Mean)</t>
        </is>
      </c>
      <c r="B11" s="11">
        <f>ROUND(AVERAGE(B6:B10), 1)</f>
        <v/>
      </c>
      <c r="C11" s="11">
        <f>ROUND(AVERAGE(C6:C10), 1)</f>
        <v/>
      </c>
      <c r="D11" s="11">
        <f>ROUND(AVERAGE(D6:D10), 1)</f>
        <v/>
      </c>
      <c r="E11" s="11">
        <f>ROUND(AVERAGE(E6:E10), 1)</f>
        <v/>
      </c>
      <c r="F11" s="11">
        <f>ROUND(AVERAGE(F6:F10), 1)</f>
        <v/>
      </c>
      <c r="G11" s="11">
        <f>ROUND(AVERAGE(G6:G10), 1)</f>
        <v/>
      </c>
      <c r="H11" s="11">
        <f>ROUND(AVERAGE(H6:H10), 1)</f>
        <v/>
      </c>
      <c r="I11" s="10">
        <f>IF(H11&lt;0, "ลดลงเฉลี่ย " &amp; ABS(H11) &amp; " ms (ดีขึ้น)", "-")</f>
        <v/>
      </c>
    </row>
  </sheetData>
  <mergeCells count="7">
    <mergeCell ref="A2:I2"/>
    <mergeCell ref="A4:A5"/>
    <mergeCell ref="B4:D4"/>
    <mergeCell ref="H4:H5"/>
    <mergeCell ref="A1:I1"/>
    <mergeCell ref="I4:I5"/>
    <mergeCell ref="E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1" customWidth="1" min="3" max="3"/>
    <col width="20" customWidth="1" min="4" max="4"/>
  </cols>
  <sheetData>
    <row r="1">
      <c r="A1" s="12" t="inlineStr">
        <is>
          <t>ตารางผลการทดสอบ: Pre-test (ก่อนการทดลอง)</t>
        </is>
      </c>
    </row>
    <row r="2"/>
    <row r="3" ht="25" customHeight="1">
      <c r="A3" s="13" t="inlineStr">
        <is>
          <t>ผู้เข้าร่วม</t>
        </is>
      </c>
      <c r="B3" s="13" t="inlineStr">
        <is>
          <t>Congruent (ms)</t>
        </is>
      </c>
      <c r="C3" s="13" t="inlineStr">
        <is>
          <t>Incongruent (ms)</t>
        </is>
      </c>
      <c r="D3" s="13" t="inlineStr">
        <is>
          <t>ผลต่าง D = I - C</t>
        </is>
      </c>
    </row>
    <row r="4" ht="22" customHeight="1">
      <c r="A4" s="9" t="inlineStr">
        <is>
          <t>P01</t>
        </is>
      </c>
      <c r="B4" s="8" t="n">
        <v>500</v>
      </c>
      <c r="C4" s="8" t="n">
        <v>650</v>
      </c>
      <c r="D4" s="8">
        <f>C4-B4</f>
        <v/>
      </c>
    </row>
    <row r="5" ht="22" customHeight="1">
      <c r="A5" s="9" t="inlineStr">
        <is>
          <t>P02</t>
        </is>
      </c>
      <c r="B5" s="8" t="n">
        <v>550</v>
      </c>
      <c r="C5" s="8" t="n">
        <v>700</v>
      </c>
      <c r="D5" s="8">
        <f>C5-B5</f>
        <v/>
      </c>
    </row>
    <row r="6" ht="22" customHeight="1">
      <c r="A6" s="9" t="inlineStr">
        <is>
          <t>P03</t>
        </is>
      </c>
      <c r="B6" s="8" t="n">
        <v>480</v>
      </c>
      <c r="C6" s="8" t="n">
        <v>600</v>
      </c>
      <c r="D6" s="8">
        <f>C6-B6</f>
        <v/>
      </c>
    </row>
    <row r="7" ht="22" customHeight="1">
      <c r="A7" s="9" t="inlineStr">
        <is>
          <t>P04</t>
        </is>
      </c>
      <c r="B7" s="8" t="n">
        <v>520</v>
      </c>
      <c r="C7" s="8" t="n">
        <v>680</v>
      </c>
      <c r="D7" s="8">
        <f>C7-B7</f>
        <v/>
      </c>
    </row>
    <row r="8" ht="22" customHeight="1">
      <c r="A8" s="9" t="inlineStr">
        <is>
          <t>P05</t>
        </is>
      </c>
      <c r="B8" s="8" t="n">
        <v>510</v>
      </c>
      <c r="C8" s="8" t="n">
        <v>660</v>
      </c>
      <c r="D8" s="8">
        <f>C8-B8</f>
        <v/>
      </c>
    </row>
    <row r="9">
      <c r="A9" s="10" t="inlineStr">
        <is>
          <t>เฉลี่ย</t>
        </is>
      </c>
      <c r="B9" s="11">
        <f>ROUND(AVERAGE(B4:B8), 1)</f>
        <v/>
      </c>
      <c r="C9" s="11">
        <f>ROUND(AVERAGE(C4:C8), 1)</f>
        <v/>
      </c>
      <c r="D9" s="11">
        <f>C9-B9</f>
        <v/>
      </c>
    </row>
    <row r="10"/>
    <row r="11"/>
    <row r="12">
      <c r="A12" s="14" t="inlineStr">
        <is>
          <t>ตารางผลการทดสอบ: Post-test (หลังการทดลอง)</t>
        </is>
      </c>
    </row>
    <row r="13"/>
    <row r="14" ht="25" customHeight="1">
      <c r="A14" s="15" t="inlineStr">
        <is>
          <t>ผู้เข้าร่วม</t>
        </is>
      </c>
      <c r="B14" s="15" t="inlineStr">
        <is>
          <t>Congruent (ms)</t>
        </is>
      </c>
      <c r="C14" s="15" t="inlineStr">
        <is>
          <t>Incongruent (ms)</t>
        </is>
      </c>
      <c r="D14" s="15" t="inlineStr">
        <is>
          <t>ผลต่าง D = I - C</t>
        </is>
      </c>
    </row>
    <row r="15" ht="22" customHeight="1">
      <c r="A15" s="9" t="inlineStr">
        <is>
          <t>P01</t>
        </is>
      </c>
      <c r="B15" s="8" t="n">
        <v>480</v>
      </c>
      <c r="C15" s="8" t="n">
        <v>580</v>
      </c>
      <c r="D15" s="8">
        <f>C15-B15</f>
        <v/>
      </c>
    </row>
    <row r="16" ht="22" customHeight="1">
      <c r="A16" s="9" t="inlineStr">
        <is>
          <t>P02</t>
        </is>
      </c>
      <c r="B16" s="8" t="n">
        <v>520</v>
      </c>
      <c r="C16" s="8" t="n">
        <v>630</v>
      </c>
      <c r="D16" s="8">
        <f>C16-B16</f>
        <v/>
      </c>
    </row>
    <row r="17" ht="22" customHeight="1">
      <c r="A17" s="9" t="inlineStr">
        <is>
          <t>P03</t>
        </is>
      </c>
      <c r="B17" s="8" t="n">
        <v>460</v>
      </c>
      <c r="C17" s="8" t="n">
        <v>550</v>
      </c>
      <c r="D17" s="8">
        <f>C17-B17</f>
        <v/>
      </c>
    </row>
    <row r="18" ht="22" customHeight="1">
      <c r="A18" s="9" t="inlineStr">
        <is>
          <t>P04</t>
        </is>
      </c>
      <c r="B18" s="8" t="n">
        <v>500</v>
      </c>
      <c r="C18" s="8" t="n">
        <v>610</v>
      </c>
      <c r="D18" s="8">
        <f>C18-B18</f>
        <v/>
      </c>
    </row>
    <row r="19" ht="22" customHeight="1">
      <c r="A19" s="9" t="inlineStr">
        <is>
          <t>P05</t>
        </is>
      </c>
      <c r="B19" s="8" t="n">
        <v>490</v>
      </c>
      <c r="C19" s="8" t="n">
        <v>590</v>
      </c>
      <c r="D19" s="8">
        <f>C19-B19</f>
        <v/>
      </c>
    </row>
    <row r="20">
      <c r="A20" s="10" t="inlineStr">
        <is>
          <t>เฉลี่ย</t>
        </is>
      </c>
      <c r="B20" s="11">
        <f>ROUND(AVERAGE(B15:B19), 1)</f>
        <v/>
      </c>
      <c r="C20" s="11">
        <f>ROUND(AVERAGE(C15:C19), 1)</f>
        <v/>
      </c>
      <c r="D20" s="11">
        <f>C20-B20</f>
        <v/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2026-10-23T20:47:07Z</dcterms:created>
  <dcterms:modified xsi:type="dcterms:W3CDTF">2026-10-23T20:47:07Z</dcterms:modified>
</cp:coreProperties>
</file>